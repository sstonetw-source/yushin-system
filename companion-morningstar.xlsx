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60" windowWidth="14180" windowHeight="15840" tabRatio="600" firstSheet="0" activeTab="0" autoFilterDateGrouping="1"/>
  </bookViews>
  <sheets>
    <sheet xmlns:r="http://schemas.openxmlformats.org/officeDocument/2006/relationships" name="估價單" sheetId="1" state="visible" r:id="rId1"/>
  </sheets>
  <definedNames>
    <definedName name="Direct_Q">#REF!</definedName>
    <definedName name="Milli_Q_Direct">#REF!</definedName>
    <definedName name="耗材型號1">#REF!</definedName>
    <definedName name="耗材型號2">#REF!</definedName>
    <definedName name="耗材型號3">#REF!</definedName>
    <definedName name="機台型號">#REF!</definedName>
    <definedName name="機台型號2">#REF!</definedName>
    <definedName name="機台型號3">#REF!</definedName>
    <definedName name="機台型號4">#REF!</definedName>
    <definedName name="機台型號5">#REF!</definedName>
    <definedName name="儲水桶型號">#REF!</definedName>
    <definedName name="_xlnm.Print_Area" localSheetId="0">'估價單'!$A$1:$H$49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[DBNum2][$-404]General"/>
    <numFmt numFmtId="166" formatCode="_-* #,##0.00_-;\-* #,##0.00_-;_-* &quot;-&quot;??_-;_-@_-"/>
  </numFmts>
  <fonts count="49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00000"/>
      <sz val="12"/>
    </font>
    <font>
      <name val="新細明體"/>
      <charset val="136"/>
      <family val="1"/>
      <sz val="9"/>
    </font>
    <font>
      <name val="細明體"/>
      <charset val="136"/>
      <family val="3"/>
      <sz val="9"/>
    </font>
    <font>
      <name val="Times New Roman"/>
      <family val="1"/>
      <sz val="36"/>
    </font>
    <font>
      <name val="Arial Unicode MS"/>
      <charset val="136"/>
      <family val="2"/>
      <sz val="20"/>
    </font>
    <font>
      <name val="Times New Roman"/>
      <family val="1"/>
      <sz val="28"/>
    </font>
    <font>
      <name val="Times New Roman"/>
      <family val="1"/>
      <sz val="26"/>
    </font>
    <font>
      <name val="Times New Roman"/>
      <family val="1"/>
      <sz val="24"/>
    </font>
    <font>
      <name val="Times New Roman"/>
      <family val="1"/>
      <sz val="22"/>
    </font>
    <font>
      <name val="Times New Roman"/>
      <family val="1"/>
      <b val="1"/>
      <sz val="12"/>
    </font>
    <font>
      <name val="Arial Unicode MS"/>
      <family val="2"/>
      <b val="1"/>
      <sz val="20"/>
    </font>
    <font>
      <name val="微軟正黑體"/>
      <charset val="136"/>
      <family val="2"/>
      <sz val="18"/>
    </font>
    <font>
      <name val="微軟正黑體"/>
      <charset val="136"/>
      <family val="2"/>
      <b val="1"/>
      <sz val="18"/>
    </font>
    <font>
      <name val="Arial Unicode MS"/>
      <charset val="136"/>
      <family val="2"/>
      <color theme="1"/>
      <sz val="20"/>
    </font>
    <font>
      <name val="Arial Unicode MS"/>
      <family val="2"/>
      <b val="1"/>
      <color rgb="FFFFFF00"/>
      <sz val="20"/>
    </font>
    <font>
      <name val="Arial Unicode MS"/>
      <charset val="136"/>
      <family val="2"/>
      <color theme="0"/>
      <sz val="20"/>
    </font>
    <font>
      <name val="Arial Unicode MS"/>
      <charset val="136"/>
      <family val="2"/>
      <sz val="16"/>
    </font>
    <font>
      <name val="微軟正黑體"/>
      <charset val="136"/>
      <family val="2"/>
      <b val="1"/>
      <color theme="0"/>
      <sz val="16"/>
    </font>
    <font>
      <name val="微軟正黑體"/>
      <charset val="136"/>
      <family val="2"/>
      <sz val="10"/>
    </font>
    <font>
      <name val="微軟正黑體"/>
      <charset val="136"/>
      <family val="2"/>
      <b val="1"/>
      <sz val="16"/>
    </font>
    <font>
      <name val="新細明體"/>
      <charset val="136"/>
      <family val="1"/>
      <sz val="18"/>
    </font>
    <font>
      <name val="微軟正黑體"/>
      <charset val="136"/>
      <family val="2"/>
      <sz val="14"/>
    </font>
    <font>
      <name val="微軟正黑體"/>
      <charset val="136"/>
      <family val="2"/>
      <b val="1"/>
      <sz val="20"/>
    </font>
    <font>
      <name val="微軟正黑體"/>
      <charset val="136"/>
      <family val="2"/>
      <sz val="15"/>
    </font>
    <font>
      <name val="微軟正黑體"/>
      <charset val="136"/>
      <family val="2"/>
      <b val="1"/>
      <color rgb="FFFF0000"/>
      <sz val="16"/>
    </font>
    <font>
      <name val="微軟正黑體"/>
      <charset val="136"/>
      <family val="2"/>
      <sz val="20"/>
    </font>
    <font>
      <name val="標楷體"/>
      <charset val="136"/>
      <family val="4"/>
      <b val="1"/>
      <color theme="1"/>
      <sz val="48"/>
    </font>
    <font>
      <name val="標楷體"/>
      <charset val="136"/>
      <family val="4"/>
      <color theme="1"/>
      <sz val="24"/>
    </font>
    <font>
      <name val="Arial"/>
      <family val="2"/>
      <color theme="1"/>
      <sz val="24"/>
    </font>
    <font>
      <name val="Arial"/>
      <family val="2"/>
      <color theme="1"/>
      <sz val="22"/>
    </font>
    <font>
      <name val="標楷體"/>
      <charset val="136"/>
      <family val="4"/>
      <color theme="1"/>
      <sz val="22"/>
    </font>
    <font>
      <name val="標楷體"/>
      <charset val="136"/>
      <family val="4"/>
      <b val="1"/>
      <color theme="1"/>
      <sz val="36"/>
    </font>
    <font>
      <name val="Times New Roman"/>
      <family val="1"/>
      <b val="1"/>
      <color theme="1"/>
      <sz val="36"/>
    </font>
    <font>
      <name val="微軟正黑體"/>
      <charset val="136"/>
      <family val="2"/>
      <color theme="1"/>
      <sz val="18"/>
    </font>
    <font>
      <name val="微軟正黑體"/>
      <charset val="136"/>
      <family val="2"/>
      <b val="1"/>
      <color theme="1"/>
      <sz val="18"/>
    </font>
    <font>
      <name val="Arial Unicode MS"/>
      <family val="2"/>
      <b val="1"/>
      <color theme="1"/>
      <sz val="20"/>
    </font>
    <font>
      <name val="Arial Unicode MS"/>
      <charset val="136"/>
      <family val="2"/>
      <color theme="1"/>
      <sz val="16"/>
    </font>
    <font>
      <name val="微軟正黑體"/>
      <charset val="136"/>
      <family val="2"/>
      <b val="1"/>
      <color theme="1"/>
      <sz val="16"/>
    </font>
    <font>
      <name val="新細明體"/>
      <charset val="136"/>
      <family val="1"/>
      <color theme="1"/>
      <sz val="18"/>
    </font>
    <font>
      <name val="新細明體"/>
      <charset val="136"/>
      <family val="1"/>
      <color theme="1"/>
      <sz val="12"/>
      <scheme val="minor"/>
    </font>
    <font>
      <name val="微軟正黑體 Light"/>
      <charset val="136"/>
      <family val="2"/>
      <sz val="18"/>
    </font>
    <font>
      <name val="微軟正黑體 Light"/>
      <charset val="136"/>
      <family val="2"/>
      <sz val="12"/>
    </font>
    <font>
      <name val="Arial Unicode MS"/>
      <family val="2"/>
      <b val="1"/>
      <color theme="1"/>
      <sz val="18"/>
    </font>
    <font>
      <name val="Arial Unicode MS"/>
      <charset val="136"/>
      <family val="1"/>
      <b val="1"/>
      <color theme="1"/>
      <sz val="18"/>
    </font>
    <font>
      <name val="新細明體"/>
      <charset val="136"/>
      <family val="1"/>
      <sz val="12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8">
    <xf numFmtId="0" fontId="48" fillId="0" borderId="0"/>
    <xf numFmtId="0" fontId="3" fillId="0" borderId="0" applyAlignment="1">
      <alignment vertical="center"/>
    </xf>
    <xf numFmtId="0" fontId="4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3" fillId="0" borderId="0" applyAlignment="1">
      <alignment vertical="center"/>
    </xf>
    <xf numFmtId="166" fontId="3" fillId="0" borderId="0" applyAlignment="1">
      <alignment vertical="center"/>
    </xf>
    <xf numFmtId="0" fontId="48" fillId="0" borderId="0"/>
  </cellStyleXfs>
  <cellXfs count="127">
    <xf numFmtId="0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4" fontId="0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14" fontId="15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4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  <xf numFmtId="0" fontId="25" fillId="0" borderId="1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horizontal="right"/>
    </xf>
    <xf numFmtId="164" fontId="28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1" xfId="0"/>
    <xf numFmtId="0" fontId="19" fillId="0" borderId="0" pivotButton="0" quotePrefix="0" xfId="0"/>
    <xf numFmtId="0" fontId="25" fillId="0" borderId="12" pivotButton="0" quotePrefix="0" xfId="0"/>
    <xf numFmtId="0" fontId="16" fillId="0" borderId="8" applyAlignment="1" pivotButton="0" quotePrefix="0" xfId="0">
      <alignment horizontal="center"/>
    </xf>
    <xf numFmtId="165" fontId="16" fillId="0" borderId="13" applyAlignment="1" pivotButton="0" quotePrefix="0" xfId="0">
      <alignment horizontal="center"/>
    </xf>
    <xf numFmtId="165" fontId="16" fillId="0" borderId="13" applyAlignment="1" pivotButton="0" quotePrefix="0" xfId="0">
      <alignment horizontal="left"/>
    </xf>
    <xf numFmtId="0" fontId="24" fillId="0" borderId="13" pivotButton="0" quotePrefix="0" xfId="0"/>
    <xf numFmtId="0" fontId="24" fillId="0" borderId="14" pivotButton="0" quotePrefix="0" xfId="0"/>
    <xf numFmtId="0" fontId="37" fillId="0" borderId="0" pivotButton="0" quotePrefix="0" xfId="0"/>
    <xf numFmtId="0" fontId="37" fillId="0" borderId="0" applyAlignment="1" pivotButton="0" quotePrefix="0" xfId="0">
      <alignment horizontal="right"/>
    </xf>
    <xf numFmtId="14" fontId="37" fillId="0" borderId="0" applyAlignment="1" pivotButton="0" quotePrefix="0" xfId="0">
      <alignment horizontal="left"/>
    </xf>
    <xf numFmtId="0" fontId="25" fillId="0" borderId="15" pivotButton="0" quotePrefix="0" xfId="0"/>
    <xf numFmtId="0" fontId="20" fillId="0" borderId="1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38" fontId="19" fillId="0" borderId="0" applyAlignment="1" pivotButton="0" quotePrefix="0" xfId="0">
      <alignment horizontal="center" vertical="center"/>
    </xf>
    <xf numFmtId="0" fontId="21" fillId="0" borderId="15" applyAlignment="1" pivotButton="0" quotePrefix="0" xfId="0">
      <alignment horizontal="left" vertical="center"/>
    </xf>
    <xf numFmtId="0" fontId="15" fillId="0" borderId="9" pivotButton="0" quotePrefix="0" xfId="0"/>
    <xf numFmtId="0" fontId="45" fillId="0" borderId="13" applyAlignment="1" pivotButton="0" quotePrefix="0" xfId="0">
      <alignment vertical="center"/>
    </xf>
    <xf numFmtId="0" fontId="44" fillId="0" borderId="0" applyAlignment="1" pivotButton="0" quotePrefix="0" xfId="0">
      <alignment horizontal="left" vertical="center"/>
    </xf>
    <xf numFmtId="0" fontId="38" fillId="0" borderId="2" applyAlignment="1" pivotButton="0" quotePrefix="0" xfId="0">
      <alignment horizontal="center" vertical="center"/>
    </xf>
    <xf numFmtId="0" fontId="38" fillId="0" borderId="9" applyAlignment="1" pivotButton="0" quotePrefix="0" xfId="0">
      <alignment horizontal="center" vertical="center"/>
    </xf>
    <xf numFmtId="0" fontId="38" fillId="0" borderId="17" applyAlignment="1" pivotButton="0" quotePrefix="0" xfId="0">
      <alignment horizontal="center" vertical="center"/>
    </xf>
    <xf numFmtId="38" fontId="38" fillId="0" borderId="17" applyAlignment="1" pivotButton="0" quotePrefix="0" xfId="0">
      <alignment horizontal="center" vertical="center"/>
    </xf>
    <xf numFmtId="14" fontId="38" fillId="0" borderId="21" applyAlignment="1" pivotButton="0" quotePrefix="0" xfId="0">
      <alignment horizontal="center" vertical="center"/>
    </xf>
    <xf numFmtId="0" fontId="17" fillId="0" borderId="3" pivotButton="0" quotePrefix="0" xfId="0"/>
    <xf numFmtId="0" fontId="17" fillId="0" borderId="13" pivotButton="0" quotePrefix="0" xfId="0"/>
    <xf numFmtId="0" fontId="17" fillId="0" borderId="0" pivotButton="0" quotePrefix="0" xfId="0"/>
    <xf numFmtId="0" fontId="17" fillId="0" borderId="23" pivotButton="0" quotePrefix="0" xfId="0"/>
    <xf numFmtId="0" fontId="17" fillId="0" borderId="24" pivotButton="0" quotePrefix="0" xfId="0"/>
    <xf numFmtId="0" fontId="41" fillId="0" borderId="23" pivotButton="0" quotePrefix="0" xfId="0"/>
    <xf numFmtId="0" fontId="42" fillId="0" borderId="0" pivotButton="0" quotePrefix="0" xfId="0"/>
    <xf numFmtId="0" fontId="17" fillId="0" borderId="22" pivotButton="0" quotePrefix="0" xfId="0"/>
    <xf numFmtId="0" fontId="17" fillId="0" borderId="14" pivotButton="0" quotePrefix="0" xfId="0"/>
    <xf numFmtId="0" fontId="17" fillId="0" borderId="15" pivotButton="0" quotePrefix="0" xfId="0"/>
    <xf numFmtId="0" fontId="17" fillId="0" borderId="0" applyAlignment="1" pivotButton="0" quotePrefix="0" xfId="0">
      <alignment horizontal="left"/>
    </xf>
    <xf numFmtId="0" fontId="17" fillId="0" borderId="3" applyAlignment="1" pivotButton="0" quotePrefix="0" xfId="0">
      <alignment horizontal="left"/>
    </xf>
    <xf numFmtId="0" fontId="37" fillId="0" borderId="13" pivotButton="0" quotePrefix="0" xfId="0"/>
    <xf numFmtId="0" fontId="37" fillId="0" borderId="13" applyAlignment="1" pivotButton="0" quotePrefix="0" xfId="0">
      <alignment horizontal="right"/>
    </xf>
    <xf numFmtId="0" fontId="17" fillId="0" borderId="0" pivotButton="0" quotePrefix="0" xfId="0"/>
    <xf numFmtId="0" fontId="17" fillId="0" borderId="16" pivotButton="0" quotePrefix="0" xfId="0"/>
    <xf numFmtId="0" fontId="17" fillId="0" borderId="11" pivotButton="0" quotePrefix="0" xfId="0"/>
    <xf numFmtId="0" fontId="17" fillId="0" borderId="8" pivotButton="0" quotePrefix="0" xfId="0"/>
    <xf numFmtId="0" fontId="30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27" applyAlignment="1" pivotButton="0" quotePrefix="0" xfId="0">
      <alignment horizontal="center" vertical="center"/>
    </xf>
    <xf numFmtId="38" fontId="17" fillId="0" borderId="2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/>
    </xf>
    <xf numFmtId="0" fontId="46" fillId="0" borderId="20" applyAlignment="1" pivotButton="0" quotePrefix="0" xfId="0">
      <alignment horizontal="left" vertical="center" wrapText="1"/>
    </xf>
    <xf numFmtId="0" fontId="47" fillId="0" borderId="20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41" fillId="0" borderId="20" applyAlignment="1" pivotButton="0" quotePrefix="0" xfId="0">
      <alignment horizontal="left" vertical="center"/>
    </xf>
    <xf numFmtId="0" fontId="40" fillId="0" borderId="1" applyAlignment="1" pivotButton="0" quotePrefix="0" xfId="0">
      <alignment horizontal="center" vertical="center"/>
    </xf>
    <xf numFmtId="0" fontId="40" fillId="0" borderId="5" applyAlignment="1" pivotButton="0" quotePrefix="0" xfId="0">
      <alignment horizontal="center" vertical="center"/>
    </xf>
    <xf numFmtId="0" fontId="40" fillId="0" borderId="26" applyAlignment="1" pivotButton="0" quotePrefix="0" xfId="0">
      <alignment horizontal="center" vertical="center"/>
    </xf>
    <xf numFmtId="0" fontId="40" fillId="0" borderId="25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15" fillId="0" borderId="3" applyAlignment="1" pivotButton="0" quotePrefix="0" xfId="0">
      <alignment vertical="center"/>
    </xf>
    <xf numFmtId="0" fontId="15" fillId="0" borderId="16" applyAlignment="1" pivotButton="0" quotePrefix="0" xfId="0">
      <alignment vertical="center"/>
    </xf>
    <xf numFmtId="0" fontId="44" fillId="0" borderId="0" applyAlignment="1" pivotButton="0" quotePrefix="0" xfId="0">
      <alignment horizontal="left" vertical="center"/>
    </xf>
    <xf numFmtId="0" fontId="44" fillId="0" borderId="11" applyAlignment="1" pivotButton="0" quotePrefix="0" xfId="0">
      <alignment horizontal="left" vertical="center"/>
    </xf>
    <xf numFmtId="0" fontId="44" fillId="0" borderId="13" applyAlignment="1" pivotButton="0" quotePrefix="0" xfId="0">
      <alignment horizontal="left" vertical="center"/>
    </xf>
    <xf numFmtId="0" fontId="44" fillId="0" borderId="8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38" fontId="16" fillId="0" borderId="17" applyAlignment="1" pivotButton="0" quotePrefix="0" xfId="0">
      <alignment horizontal="center" vertical="center"/>
    </xf>
    <xf numFmtId="38" fontId="16" fillId="0" borderId="19" applyAlignment="1" pivotButton="0" quotePrefix="0" xfId="0">
      <alignment horizontal="center" vertical="center"/>
    </xf>
    <xf numFmtId="38" fontId="16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17" fillId="0" borderId="3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31" pivotButton="0" quotePrefix="0" xfId="0"/>
    <xf numFmtId="0" fontId="0" fillId="0" borderId="6" pivotButton="0" quotePrefix="0" xfId="0"/>
    <xf numFmtId="0" fontId="0" fillId="0" borderId="16" pivotButton="0" quotePrefix="0" xfId="0"/>
    <xf numFmtId="0" fontId="16" fillId="0" borderId="29" applyAlignment="1" pivotButton="0" quotePrefix="0" xfId="0">
      <alignment horizontal="center" vertical="center"/>
    </xf>
    <xf numFmtId="38" fontId="16" fillId="0" borderId="29" applyAlignment="1" pivotButton="0" quotePrefix="0" xfId="0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7" pivotButton="0" quotePrefix="0" xfId="0"/>
    <xf numFmtId="165" fontId="16" fillId="0" borderId="13" applyAlignment="1" pivotButton="0" quotePrefix="0" xfId="0">
      <alignment horizontal="center"/>
    </xf>
    <xf numFmtId="165" fontId="16" fillId="0" borderId="13" applyAlignment="1" pivotButton="0" quotePrefix="0" xfId="0">
      <alignment horizontal="left"/>
    </xf>
    <xf numFmtId="164" fontId="28" fillId="0" borderId="0" applyAlignment="1" pivotButton="0" quotePrefix="0" xfId="0">
      <alignment horizontal="left"/>
    </xf>
  </cellXfs>
  <cellStyles count="8">
    <cellStyle name="一般" xfId="0" builtinId="0"/>
    <cellStyle name="一般 2" xfId="1"/>
    <cellStyle name="Normal 2" xfId="2"/>
    <cellStyle name="一般 3" xfId="3"/>
    <cellStyle name="千分位 2" xfId="4"/>
    <cellStyle name="一般 4" xfId="5"/>
    <cellStyle name="千分位 3" xfId="6"/>
    <cellStyle name="一般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404812</colOff>
      <row>0</row>
      <rowOff>301626</rowOff>
    </from>
    <to>
      <col>2</col>
      <colOff>1063625</colOff>
      <row>2</row>
      <rowOff>219145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4812" y="301626"/>
          <a:ext cx="3246438" cy="15526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247650</colOff>
      <row>33</row>
      <rowOff>195262</rowOff>
    </from>
    <to>
      <col>2</col>
      <colOff>2282273</colOff>
      <row>40</row>
      <rowOff>169862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33450" y="13454062"/>
          <a:ext cx="4117423" cy="2641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tabSelected="1" view="pageBreakPreview" zoomScale="50" zoomScaleNormal="60" zoomScalePageLayoutView="60" workbookViewId="0">
      <selection activeCell="C40" sqref="C40"/>
    </sheetView>
  </sheetViews>
  <sheetFormatPr baseColWidth="10" defaultColWidth="8.83203125" defaultRowHeight="15"/>
  <cols>
    <col width="8.83203125" customWidth="1" min="1" max="1"/>
    <col width="27.33203125" customWidth="1" min="2" max="2"/>
    <col width="94.1640625" customWidth="1" min="3" max="3"/>
    <col width="12.6640625" customWidth="1" min="4" max="4"/>
    <col width="17.33203125" customWidth="1" min="5" max="5"/>
    <col width="21.5" customWidth="1" min="6" max="7"/>
    <col width="17.83203125" customWidth="1" min="8" max="8"/>
    <col width="3.33203125" customWidth="1" min="10" max="11"/>
    <col width="20" customWidth="1" min="12" max="12"/>
  </cols>
  <sheetData>
    <row r="1" ht="82" customFormat="1" customHeight="1" s="1">
      <c r="A1" s="66" t="inlineStr">
        <is>
          <t>辰星生物科技有限公司</t>
        </is>
      </c>
    </row>
    <row r="2" ht="47" customFormat="1" customHeight="1" s="2"/>
    <row r="3" ht="33" customFormat="1" customHeight="1" s="3">
      <c r="A3" s="73" t="inlineStr">
        <is>
          <t>地址: 台北市中正區重慶南路三段21號9樓</t>
        </is>
      </c>
    </row>
    <row r="4" ht="30" customFormat="1" customHeight="1" s="4">
      <c r="A4" s="74" t="inlineStr">
        <is>
          <t>T e l : ( 0 2 ) 2 3 2 2 - 5 4 2 9</t>
        </is>
      </c>
    </row>
    <row r="5" ht="28" customFormat="1" customHeight="1" s="5">
      <c r="A5" s="75" t="inlineStr">
        <is>
          <t>統編 : 8 3 4 6 8 6 5 6</t>
        </is>
      </c>
    </row>
    <row r="6" ht="25.75" customHeight="1">
      <c r="A6" s="67" t="inlineStr">
        <is>
          <t>估     價     單</t>
        </is>
      </c>
    </row>
    <row r="7" ht="25.75" customFormat="1" customHeight="1" s="7"/>
    <row r="8" ht="26" customFormat="1" customHeight="1" s="8">
      <c r="A8" s="32" t="n"/>
      <c r="B8" s="76" t="inlineStr">
        <is>
          <t>抬頭：衛生福利部國家中醫藥研究所</t>
        </is>
      </c>
      <c r="F8" s="33" t="inlineStr">
        <is>
          <t>日期:</t>
        </is>
      </c>
      <c r="G8" s="34">
        <f>TODAY()</f>
        <v/>
      </c>
      <c r="H8" s="33" t="n"/>
      <c r="L8" s="9">
        <f>+G8+90</f>
        <v/>
      </c>
    </row>
    <row r="9" ht="26" customFormat="1" customHeight="1" s="8">
      <c r="A9" s="32" t="n"/>
      <c r="B9" s="76" t="n"/>
      <c r="F9" s="33" t="inlineStr">
        <is>
          <t>No.</t>
        </is>
      </c>
      <c r="G9" s="32" t="inlineStr">
        <is>
          <t>MS1150806-S01</t>
        </is>
      </c>
      <c r="H9" s="32" t="n"/>
    </row>
    <row r="10" ht="27" customFormat="1" customHeight="1" s="8" thickBot="1">
      <c r="A10" s="32" t="inlineStr">
        <is>
          <t xml:space="preserve"> </t>
        </is>
      </c>
      <c r="B10" s="60" t="n"/>
      <c r="C10" s="60" t="n"/>
      <c r="D10" s="60" t="n"/>
      <c r="E10" s="60" t="n"/>
      <c r="F10" s="61" t="n"/>
      <c r="G10" s="60" t="n"/>
      <c r="H10" s="60" t="n"/>
    </row>
    <row r="11" ht="30" customFormat="1" customHeight="1" s="11" thickBot="1">
      <c r="A11" s="44" t="inlineStr">
        <is>
          <t>項目</t>
        </is>
      </c>
      <c r="B11" s="79" t="inlineStr">
        <is>
          <t>品                    名</t>
        </is>
      </c>
      <c r="C11" s="104" t="n"/>
      <c r="D11" s="45" t="inlineStr">
        <is>
          <t>數  量</t>
        </is>
      </c>
      <c r="E11" s="46" t="inlineStr">
        <is>
          <t>未稅單價</t>
        </is>
      </c>
      <c r="F11" s="79" t="inlineStr">
        <is>
          <t>稅額</t>
        </is>
      </c>
      <c r="G11" s="47" t="inlineStr">
        <is>
          <t>小記</t>
        </is>
      </c>
      <c r="H11" s="10" t="n"/>
    </row>
    <row r="12" ht="30" customFormat="1" customHeight="1" s="13" thickBot="1">
      <c r="A12" s="105" t="n">
        <v>1</v>
      </c>
      <c r="B12" s="59" t="n">
        <v>17007406</v>
      </c>
      <c r="C12" s="63" t="inlineStr">
        <is>
          <t>Bio-Plex Pro Mouse Diabetes Adiponectin Assay</t>
        </is>
      </c>
      <c r="D12" s="71" t="n">
        <v>1</v>
      </c>
      <c r="E12" s="72" t="n">
        <v>30000</v>
      </c>
      <c r="F12" s="72" t="n">
        <v>1500</v>
      </c>
      <c r="G12" s="77" t="n">
        <v>31500</v>
      </c>
      <c r="H12" s="12" t="n"/>
    </row>
    <row r="13" ht="30" customFormat="1" customHeight="1" s="13" thickBot="1">
      <c r="A13" s="106" t="n"/>
      <c r="C13" s="64" t="inlineStr">
        <is>
          <t>蛋白分析試劑組</t>
        </is>
      </c>
      <c r="D13" s="107" t="n"/>
      <c r="E13" s="108" t="n"/>
      <c r="F13" s="108" t="n"/>
      <c r="G13" s="108" t="n"/>
      <c r="H13" s="12" t="n"/>
    </row>
    <row r="14" ht="30" customFormat="1" customHeight="1" s="13" thickBot="1">
      <c r="A14" s="109" t="n"/>
      <c r="B14" s="62" t="inlineStr">
        <is>
          <t>廠牌:Biorad</t>
        </is>
      </c>
      <c r="C14" s="65" t="inlineStr">
        <is>
          <t>規格：</t>
        </is>
      </c>
      <c r="D14" s="110" t="n"/>
      <c r="E14" s="111" t="n"/>
      <c r="F14" s="111" t="n"/>
      <c r="G14" s="111" t="n"/>
      <c r="H14" s="12" t="n"/>
      <c r="J14" s="14" t="n"/>
    </row>
    <row r="15" ht="30" customFormat="1" customHeight="1" s="13" thickBot="1">
      <c r="A15" s="70" t="n">
        <v>2</v>
      </c>
      <c r="B15" s="58" t="n"/>
      <c r="C15" s="62" t="n"/>
      <c r="D15" s="81" t="n"/>
      <c r="E15" s="72" t="n"/>
      <c r="F15" s="72" t="n"/>
      <c r="G15" s="77" t="n"/>
      <c r="H15" s="12" t="n"/>
    </row>
    <row r="16" ht="30" customFormat="1" customHeight="1" s="13" thickBot="1">
      <c r="A16" s="109" t="n"/>
      <c r="B16" s="49" t="n"/>
      <c r="C16" s="49" t="n"/>
      <c r="D16" s="111" t="n"/>
      <c r="E16" s="111" t="n"/>
      <c r="F16" s="111" t="n"/>
      <c r="G16" s="111" t="n"/>
      <c r="H16" s="12" t="n"/>
    </row>
    <row r="17" ht="30" customFormat="1" customHeight="1" s="13" thickBot="1">
      <c r="A17" s="69" t="n">
        <v>3</v>
      </c>
      <c r="B17" s="62" t="n"/>
      <c r="C17" s="62" t="n"/>
      <c r="D17" s="81" t="n"/>
      <c r="E17" s="72" t="n"/>
      <c r="F17" s="72" t="n"/>
      <c r="G17" s="77" t="n"/>
      <c r="H17" s="12" t="n"/>
    </row>
    <row r="18" ht="30" customFormat="1" customHeight="1" s="13" thickBot="1">
      <c r="A18" s="106" t="n"/>
      <c r="B18" s="62" t="n"/>
      <c r="C18" s="62" t="n"/>
      <c r="D18" s="111" t="n"/>
      <c r="E18" s="111" t="n"/>
      <c r="F18" s="111" t="n"/>
      <c r="G18" s="111" t="n"/>
      <c r="H18" s="12" t="n"/>
    </row>
    <row r="19" ht="30" customFormat="1" customHeight="1" s="13" thickBot="1">
      <c r="A19" s="105" t="n">
        <v>4</v>
      </c>
      <c r="B19" s="48" t="n"/>
      <c r="C19" s="48" t="n"/>
      <c r="D19" s="81" t="n"/>
      <c r="E19" s="72" t="n"/>
      <c r="F19" s="72" t="n"/>
      <c r="G19" s="77" t="n"/>
      <c r="H19" s="12" t="n"/>
    </row>
    <row r="20" ht="30" customFormat="1" customHeight="1" s="13" thickBot="1">
      <c r="A20" s="109" t="n"/>
      <c r="B20" s="49" t="n"/>
      <c r="C20" s="49" t="n"/>
      <c r="D20" s="111" t="n"/>
      <c r="E20" s="111" t="n"/>
      <c r="F20" s="111" t="n"/>
      <c r="G20" s="111" t="n"/>
      <c r="H20" s="12" t="n"/>
    </row>
    <row r="21" ht="30" customFormat="1" customHeight="1" s="13" thickBot="1">
      <c r="A21" s="69" t="n">
        <v>5</v>
      </c>
      <c r="B21" s="62" t="n"/>
      <c r="C21" s="62" t="n"/>
      <c r="D21" s="81" t="n"/>
      <c r="E21" s="72" t="n"/>
      <c r="F21" s="72" t="n"/>
      <c r="G21" s="82" t="n"/>
      <c r="H21" s="12" t="n"/>
    </row>
    <row r="22" ht="30" customFormat="1" customHeight="1" s="13" thickBot="1">
      <c r="A22" s="106" t="n"/>
      <c r="B22" s="62" t="n"/>
      <c r="C22" s="62" t="n"/>
      <c r="D22" s="111" t="n"/>
      <c r="E22" s="111" t="n"/>
      <c r="F22" s="111" t="n"/>
      <c r="G22" s="111" t="n"/>
      <c r="H22" s="12" t="n"/>
    </row>
    <row r="23" ht="30" customFormat="1" customHeight="1" s="16" thickBot="1">
      <c r="A23" s="84" t="n">
        <v>6</v>
      </c>
      <c r="B23" s="48" t="n"/>
      <c r="C23" s="55" t="n"/>
      <c r="D23" s="81" t="n"/>
      <c r="E23" s="72" t="n"/>
      <c r="F23" s="72" t="n"/>
      <c r="G23" s="83" t="n"/>
      <c r="H23" s="15" t="n"/>
    </row>
    <row r="24" ht="30" customFormat="1" customHeight="1" s="16" thickBot="1">
      <c r="A24" s="112" t="n"/>
      <c r="B24" s="62" t="n"/>
      <c r="C24" s="57" t="n"/>
      <c r="D24" s="111" t="n"/>
      <c r="E24" s="111" t="n"/>
      <c r="F24" s="111" t="n"/>
      <c r="G24" s="111" t="n"/>
      <c r="H24" s="15" t="n"/>
    </row>
    <row r="25" ht="30" customFormat="1" customHeight="1" s="16" thickBot="1">
      <c r="A25" s="84" t="n">
        <v>7</v>
      </c>
      <c r="B25" s="48" t="n"/>
      <c r="C25" s="55" t="n"/>
      <c r="D25" s="81" t="n"/>
      <c r="E25" s="72" t="n"/>
      <c r="F25" s="72" t="n"/>
      <c r="G25" s="83" t="n"/>
      <c r="H25" s="15" t="n"/>
    </row>
    <row r="26" ht="30" customFormat="1" customHeight="1" s="16" thickBot="1">
      <c r="A26" s="112" t="n"/>
      <c r="B26" s="49" t="n"/>
      <c r="C26" s="56" t="n"/>
      <c r="D26" s="111" t="n"/>
      <c r="E26" s="111" t="n"/>
      <c r="F26" s="111" t="n"/>
      <c r="G26" s="111" t="n"/>
      <c r="H26" s="15" t="n"/>
    </row>
    <row r="27" ht="30" customFormat="1" customHeight="1" s="16" thickBot="1">
      <c r="A27" s="88" t="n">
        <v>8</v>
      </c>
      <c r="B27" s="62" t="n"/>
      <c r="C27" s="62" t="n"/>
      <c r="D27" s="81" t="n"/>
      <c r="E27" s="72" t="n"/>
      <c r="F27" s="72" t="n"/>
      <c r="G27" s="83" t="n"/>
      <c r="H27" s="15" t="n"/>
    </row>
    <row r="28" ht="30" customFormat="1" customHeight="1" s="16" thickBot="1">
      <c r="A28" s="112" t="n"/>
      <c r="B28" s="53" t="n"/>
      <c r="C28" s="51" t="n"/>
      <c r="D28" s="111" t="n"/>
      <c r="E28" s="111" t="n"/>
      <c r="F28" s="111" t="n"/>
      <c r="G28" s="111" t="n"/>
      <c r="H28" s="15" t="n"/>
    </row>
    <row r="29" ht="30" customFormat="1" customHeight="1" s="16" thickBot="1">
      <c r="A29" s="87" t="n">
        <v>9</v>
      </c>
      <c r="B29" s="52" t="n"/>
      <c r="C29" s="52" t="n"/>
      <c r="D29" s="81" t="n"/>
      <c r="E29" s="72" t="n"/>
      <c r="F29" s="72" t="n"/>
      <c r="G29" s="83" t="n"/>
      <c r="H29" s="15" t="n"/>
    </row>
    <row r="30" ht="30" customFormat="1" customHeight="1" s="16" thickBot="1">
      <c r="A30" s="112" t="n"/>
      <c r="B30" s="53" t="n"/>
      <c r="C30" s="51" t="n"/>
      <c r="D30" s="111" t="n"/>
      <c r="E30" s="111" t="n"/>
      <c r="F30" s="111" t="n"/>
      <c r="G30" s="111" t="n"/>
      <c r="H30" s="15" t="n"/>
    </row>
    <row r="31" ht="30" customHeight="1" thickBot="1">
      <c r="A31" s="87" t="n">
        <v>10</v>
      </c>
      <c r="B31" s="52" t="n"/>
      <c r="C31" s="52" t="n"/>
      <c r="D31" s="81" t="n"/>
      <c r="E31" s="72" t="n"/>
      <c r="F31" s="72" t="n"/>
      <c r="G31" s="83" t="n"/>
    </row>
    <row r="32" ht="30" customFormat="1" customHeight="1" s="17" thickBot="1">
      <c r="A32" s="112" t="n"/>
      <c r="B32" s="54" t="n"/>
      <c r="C32" s="51" t="n"/>
      <c r="D32" s="111" t="n"/>
      <c r="E32" s="111" t="n"/>
      <c r="F32" s="111" t="n"/>
      <c r="G32" s="111" t="n"/>
    </row>
    <row r="33" ht="30" customFormat="1" customHeight="1" s="17" thickBot="1">
      <c r="A33" s="87" t="n">
        <v>11</v>
      </c>
      <c r="B33" s="52" t="n"/>
      <c r="C33" s="52" t="n"/>
      <c r="D33" s="81" t="n"/>
      <c r="E33" s="72" t="n"/>
      <c r="F33" s="72" t="n"/>
      <c r="G33" s="83" t="n"/>
    </row>
    <row r="34" ht="30" customFormat="1" customHeight="1" s="17" thickBot="1">
      <c r="A34" s="112" t="n"/>
      <c r="B34" s="51" t="n"/>
      <c r="C34" s="51" t="n"/>
      <c r="D34" s="111" t="n"/>
      <c r="E34" s="111" t="n"/>
      <c r="F34" s="111" t="n"/>
      <c r="G34" s="111" t="n"/>
    </row>
    <row r="35" ht="30" customFormat="1" customHeight="1" s="17" thickBot="1">
      <c r="A35" s="87" t="n">
        <v>12</v>
      </c>
      <c r="B35" s="52" t="n"/>
      <c r="C35" s="52" t="n"/>
      <c r="D35" s="81" t="n"/>
      <c r="E35" s="72" t="n"/>
      <c r="F35" s="72" t="n"/>
      <c r="G35" s="83" t="n"/>
    </row>
    <row r="36" ht="30" customFormat="1" customHeight="1" s="17" thickBot="1">
      <c r="A36" s="112" t="n"/>
      <c r="B36" s="51" t="n"/>
      <c r="C36" s="51" t="n"/>
      <c r="D36" s="111" t="n"/>
      <c r="E36" s="111" t="n"/>
      <c r="F36" s="111" t="n"/>
      <c r="G36" s="111" t="n"/>
    </row>
    <row r="37" ht="30" customFormat="1" customHeight="1" s="17" thickBot="1">
      <c r="A37" s="87" t="n">
        <v>13</v>
      </c>
      <c r="B37" s="52" t="n"/>
      <c r="C37" s="52" t="n"/>
      <c r="D37" s="81" t="n"/>
      <c r="E37" s="72" t="n"/>
      <c r="F37" s="72" t="n"/>
      <c r="G37" s="83" t="n"/>
    </row>
    <row r="38" ht="30" customFormat="1" customHeight="1" s="17" thickBot="1">
      <c r="A38" s="112" t="n"/>
      <c r="B38" s="51" t="n"/>
      <c r="C38" s="51" t="n"/>
      <c r="D38" s="111" t="n"/>
      <c r="E38" s="111" t="n"/>
      <c r="F38" s="111" t="n"/>
      <c r="G38" s="111" t="n"/>
    </row>
    <row r="39" ht="30" customFormat="1" customHeight="1" s="17" thickBot="1">
      <c r="A39" s="87" t="n">
        <v>14</v>
      </c>
      <c r="B39" s="52" t="n"/>
      <c r="C39" s="52" t="n"/>
      <c r="D39" s="81" t="n"/>
      <c r="E39" s="72" t="n"/>
      <c r="F39" s="72" t="n"/>
      <c r="G39" s="83" t="n"/>
    </row>
    <row r="40" ht="30" customFormat="1" customHeight="1" s="17" thickBot="1">
      <c r="A40" s="112" t="n"/>
      <c r="B40" s="49" t="n"/>
      <c r="C40" s="49" t="n"/>
      <c r="D40" s="111" t="n"/>
      <c r="E40" s="111" t="n"/>
      <c r="F40" s="111" t="n"/>
      <c r="G40" s="111" t="n"/>
    </row>
    <row r="41" ht="30" customFormat="1" customHeight="1" s="19">
      <c r="A41" s="36" t="n"/>
      <c r="B41" s="25" t="n"/>
      <c r="C41" s="25" t="n"/>
      <c r="D41" s="37" t="n"/>
      <c r="E41" s="37" t="n"/>
      <c r="F41" s="38" t="n"/>
      <c r="G41" s="38" t="n"/>
      <c r="H41" s="39" t="n"/>
    </row>
    <row r="42" ht="30" customFormat="1" customHeight="1" s="19">
      <c r="A42" s="18" t="n"/>
      <c r="H42" s="35" t="n"/>
    </row>
    <row r="43" ht="30" customFormat="1" customHeight="1" s="19" thickBot="1">
      <c r="A43" s="18" t="n"/>
      <c r="H43" s="35" t="n"/>
    </row>
    <row r="44" ht="30" customFormat="1" customHeight="1" s="19">
      <c r="A44" s="40" t="n"/>
      <c r="B44" s="90" t="inlineStr">
        <is>
          <t>若同意本估價單金額與付款條件，請簽名回傳視同正式訂單。</t>
        </is>
      </c>
      <c r="C44" s="104" t="n"/>
      <c r="D44" s="104" t="n"/>
      <c r="E44" s="113" t="n"/>
      <c r="F44" s="114" t="inlineStr">
        <is>
          <t>合        計</t>
        </is>
      </c>
      <c r="G44" s="115">
        <f>SUM(G12:G40)</f>
        <v/>
      </c>
      <c r="H44" s="116" t="inlineStr">
        <is>
          <t>已含稅</t>
        </is>
      </c>
    </row>
    <row r="45" ht="30" customFormat="1" customHeight="1" s="19">
      <c r="A45" s="18" t="n"/>
      <c r="B45" s="91" t="n"/>
      <c r="C45" s="92" t="n"/>
      <c r="E45" s="117" t="n"/>
      <c r="F45" s="118" t="n"/>
      <c r="G45" s="118" t="n"/>
      <c r="H45" s="119" t="n"/>
    </row>
    <row r="46" ht="30" customHeight="1" thickBot="1">
      <c r="A46" s="26" t="n"/>
      <c r="B46" s="41" t="n"/>
      <c r="C46" s="94" t="n"/>
      <c r="D46" s="120" t="n"/>
      <c r="E46" s="121" t="n"/>
      <c r="F46" s="122" t="n"/>
      <c r="G46" s="122" t="n"/>
      <c r="H46" s="123" t="n"/>
    </row>
    <row r="47" ht="30" customHeight="1" thickBot="1">
      <c r="A47" s="26" t="n"/>
      <c r="B47" s="27" t="inlineStr">
        <is>
          <t>新     台     幣</t>
        </is>
      </c>
      <c r="C47" s="124">
        <f>G44</f>
        <v/>
      </c>
      <c r="D47" s="125" t="inlineStr">
        <is>
          <t>元整</t>
        </is>
      </c>
      <c r="E47" s="30" t="n"/>
      <c r="F47" s="30" t="n"/>
      <c r="G47" s="30" t="n"/>
      <c r="H47" s="31" t="n"/>
    </row>
    <row r="48" ht="30" customHeight="1">
      <c r="A48" s="19" t="n"/>
      <c r="D48" s="20" t="inlineStr">
        <is>
          <t>經 辦 人 員 ：</t>
        </is>
      </c>
      <c r="E48" s="16" t="n"/>
      <c r="F48" s="23" t="inlineStr">
        <is>
          <t>石錄0988145106</t>
        </is>
      </c>
      <c r="G48" s="24" t="n"/>
      <c r="H48" s="19" t="n"/>
    </row>
    <row r="49" ht="30" customHeight="1">
      <c r="A49" s="19" t="n"/>
      <c r="B49" s="21" t="n"/>
      <c r="C49" s="126" t="n"/>
      <c r="D49" s="20" t="n"/>
      <c r="E49" s="16" t="n"/>
      <c r="F49" s="23" t="n"/>
      <c r="G49" s="24" t="n"/>
      <c r="H49" s="19" t="n"/>
    </row>
    <row r="52">
      <c r="C52" s="6" t="n"/>
    </row>
  </sheetData>
  <mergeCells count="84">
    <mergeCell ref="E39:E40"/>
    <mergeCell ref="D21:D22"/>
    <mergeCell ref="E23:E24"/>
    <mergeCell ref="A27:A28"/>
    <mergeCell ref="F31:F32"/>
    <mergeCell ref="D15:D16"/>
    <mergeCell ref="A3:H3"/>
    <mergeCell ref="G33:G34"/>
    <mergeCell ref="A33:A34"/>
    <mergeCell ref="F37:F38"/>
    <mergeCell ref="A5:H5"/>
    <mergeCell ref="G35:G36"/>
    <mergeCell ref="A35:A36"/>
    <mergeCell ref="F12:F14"/>
    <mergeCell ref="E25:E26"/>
    <mergeCell ref="E21:E22"/>
    <mergeCell ref="G21:G22"/>
    <mergeCell ref="A12:A14"/>
    <mergeCell ref="D27:D28"/>
    <mergeCell ref="G23:G24"/>
    <mergeCell ref="D17:D18"/>
    <mergeCell ref="G39:G40"/>
    <mergeCell ref="C46:E46"/>
    <mergeCell ref="F35:F36"/>
    <mergeCell ref="B11:C11"/>
    <mergeCell ref="E12:E14"/>
    <mergeCell ref="F44:F46"/>
    <mergeCell ref="A37:A38"/>
    <mergeCell ref="F33:F34"/>
    <mergeCell ref="E31:E32"/>
    <mergeCell ref="A21:A22"/>
    <mergeCell ref="E27:E28"/>
    <mergeCell ref="H44:H46"/>
    <mergeCell ref="A17:A18"/>
    <mergeCell ref="D25:D26"/>
    <mergeCell ref="D37:D38"/>
    <mergeCell ref="A23:A24"/>
    <mergeCell ref="G25:G26"/>
    <mergeCell ref="A19:A20"/>
    <mergeCell ref="D39:D40"/>
    <mergeCell ref="G27:G28"/>
    <mergeCell ref="A39:A40"/>
    <mergeCell ref="D23:D24"/>
    <mergeCell ref="A6:H7"/>
    <mergeCell ref="E29:E30"/>
    <mergeCell ref="F21:F22"/>
    <mergeCell ref="F17:F18"/>
    <mergeCell ref="E15:E16"/>
    <mergeCell ref="G37:G38"/>
    <mergeCell ref="G15:G16"/>
    <mergeCell ref="F23:F24"/>
    <mergeCell ref="G12:G14"/>
    <mergeCell ref="F39:F40"/>
    <mergeCell ref="D29:D30"/>
    <mergeCell ref="F29:F30"/>
    <mergeCell ref="B44:E44"/>
    <mergeCell ref="D31:D32"/>
    <mergeCell ref="A31:A32"/>
    <mergeCell ref="F15:F16"/>
    <mergeCell ref="E17:E18"/>
    <mergeCell ref="B9:E9"/>
    <mergeCell ref="G17:G18"/>
    <mergeCell ref="F25:F26"/>
    <mergeCell ref="D12:D14"/>
    <mergeCell ref="E33:E34"/>
    <mergeCell ref="E19:E20"/>
    <mergeCell ref="G19:G20"/>
    <mergeCell ref="G44:G46"/>
    <mergeCell ref="E35:E36"/>
    <mergeCell ref="A25:A26"/>
    <mergeCell ref="G29:G30"/>
    <mergeCell ref="D33:D34"/>
    <mergeCell ref="F27:F28"/>
    <mergeCell ref="A29:A30"/>
    <mergeCell ref="A1:H2"/>
    <mergeCell ref="A4:H4"/>
    <mergeCell ref="D19:D20"/>
    <mergeCell ref="F19:F20"/>
    <mergeCell ref="B8:E8"/>
    <mergeCell ref="C45:E45"/>
    <mergeCell ref="A15:A16"/>
    <mergeCell ref="E37:E38"/>
    <mergeCell ref="G31:G32"/>
    <mergeCell ref="D35:D36"/>
  </mergeCells>
  <printOptions horizontalCentered="1"/>
  <pageMargins left="0.1181102362204725" right="0.1181102362204725" top="0.7480314960629921" bottom="0.7480314960629921" header="0.3149606299212598" footer="0.3149606299212598"/>
  <pageSetup orientation="portrait" paperSize="9" scale="4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</dc:creator>
  <dcterms:created xmlns:dcterms="http://purl.org/dc/terms/" xmlns:xsi="http://www.w3.org/2001/XMLSchema-instance" xsi:type="dcterms:W3CDTF">2017-10-30T09:41:00Z</dcterms:created>
  <dcterms:modified xmlns:dcterms="http://purl.org/dc/terms/" xmlns:xsi="http://www.w3.org/2001/XMLSchema-instance" xsi:type="dcterms:W3CDTF">2026-08-31T09:21:01Z</dcterms:modified>
  <cp:lastModifiedBy>Microsoft Office User</cp:lastModifiedBy>
  <cp:lastPrinted>2026-08-06T09:09:21Z</cp:lastPrinted>
</cp:coreProperties>
</file>