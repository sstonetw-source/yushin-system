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/Documents/工作/報價單/"/>
    </mc:Choice>
  </mc:AlternateContent>
  <xr:revisionPtr revIDLastSave="0" documentId="13_ncr:1_{9B2DCCC9-91C9-2B43-AF9F-F967E154498A}" xr6:coauthVersionLast="47" xr6:coauthVersionMax="47" xr10:uidLastSave="{00000000-0000-0000-0000-000000000000}"/>
  <bookViews>
    <workbookView xWindow="140" yWindow="680" windowWidth="14180" windowHeight="15640" xr2:uid="{00000000-000D-0000-FFFF-FFFF00000000}"/>
  </bookViews>
  <sheets>
    <sheet name="估價單" sheetId="2" r:id="rId1"/>
  </sheets>
  <calcPr calcId="191029"/>
</workbook>
</file>

<file path=xl/calcChain.xml><?xml version="1.0" encoding="utf-8"?>
<calcChain xmlns="http://schemas.openxmlformats.org/spreadsheetml/2006/main">
  <c r="C9" i="2" l="1"/>
  <c r="H12" i="2"/>
  <c r="C27" i="2" l="1"/>
  <c r="C29" i="2" s="1"/>
</calcChain>
</file>

<file path=xl/sharedStrings.xml><?xml version="1.0" encoding="utf-8"?>
<sst xmlns="http://schemas.openxmlformats.org/spreadsheetml/2006/main" count="24" uniqueCount="24">
  <si>
    <t>數 量</t>
    <phoneticPr fontId="1" type="noConversion"/>
  </si>
  <si>
    <t>單    價</t>
    <phoneticPr fontId="1" type="noConversion"/>
  </si>
  <si>
    <t>鼎新生物科技有限公司</t>
    <phoneticPr fontId="1" type="noConversion"/>
  </si>
  <si>
    <t>項次</t>
    <phoneticPr fontId="1" type="noConversion"/>
  </si>
  <si>
    <t>項目名稱</t>
    <phoneticPr fontId="1" type="noConversion"/>
  </si>
  <si>
    <t>小計</t>
    <phoneticPr fontId="1" type="noConversion"/>
  </si>
  <si>
    <t>合計</t>
    <phoneticPr fontId="1" type="noConversion"/>
  </si>
  <si>
    <t>應稅</t>
    <phoneticPr fontId="1" type="noConversion"/>
  </si>
  <si>
    <t>總計</t>
    <phoneticPr fontId="1" type="noConversion"/>
  </si>
  <si>
    <t>單位</t>
    <phoneticPr fontId="1" type="noConversion"/>
  </si>
  <si>
    <t>客戶：</t>
    <phoneticPr fontId="1" type="noConversion"/>
  </si>
  <si>
    <t>日期：</t>
    <phoneticPr fontId="1" type="noConversion"/>
  </si>
  <si>
    <t>Quotation</t>
    <phoneticPr fontId="1" type="noConversion"/>
  </si>
  <si>
    <t>統一編號:25127434</t>
    <phoneticPr fontId="1" type="noConversion"/>
  </si>
  <si>
    <t>公司地址：104台北市中山區南京東路一段34號7樓</t>
    <phoneticPr fontId="1" type="noConversion"/>
  </si>
  <si>
    <t>服務電話：02-2568-2059</t>
    <phoneticPr fontId="1" type="noConversion"/>
  </si>
  <si>
    <t>*本估價單有效日為120天</t>
    <phoneticPr fontId="1" type="noConversion"/>
  </si>
  <si>
    <t>內含</t>
    <phoneticPr fontId="14" type="noConversion"/>
  </si>
  <si>
    <t>瓶</t>
    <phoneticPr fontId="14" type="noConversion"/>
  </si>
  <si>
    <t>核酸酵素</t>
  </si>
  <si>
    <t>DNA Polymerse dNTPack</t>
  </si>
  <si>
    <t>型號：04738357001</t>
    <phoneticPr fontId="14" type="noConversion"/>
  </si>
  <si>
    <t>衛生福利部中醫藥研究所</t>
    <phoneticPr fontId="1" type="noConversion"/>
  </si>
  <si>
    <t>負責業務：石錄0988145106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</si>
</sst>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76" formatCode="#,##0_ "/>
    <numFmt numFmtId="177" formatCode="[DBNum2]&quot;共&quot;&quot;計&quot;&quot;新&quot;&quot;台&quot;&quot;幣&quot;\:[$-404]General&quot;元&quot;&quot;整&quot;"/>
    <numFmt numFmtId="178" formatCode="[DBNum2]&quot;合&quot;&quot;計&quot;&quot;新&quot;&quot;台&quot;&quot;幣&quot;[$-404]General&quot;元&quot;&quot;整&quot;"/>
    <numFmt numFmtId="179" formatCode="&quot;NT$&quot;#,##0_);[Red]\(&quot;NT$&quot;#,##0\)"/>
    <numFmt numFmtId="180" formatCode="[DBNum2]&quot;合&quot;&quot;計&quot;&quot;新&quot;&quot;台&quot;&quot;幣&quot;\ [$-404]General\ &quot;元&quot;&quot;整&quot;"/>
    <numFmt numFmtId="181" formatCode="yyyy/m/d;@"/>
    <numFmt numFmtId="182" formatCode="m&quot;月&quot;d&quot;日&quot;"/>
    <numFmt numFmtId="183" formatCode="_-&quot;$&quot;* #,##0_-;\-&quot;$&quot;* #,##0_-;_-&quot;$&quot;* &quot;-&quot;??_-;_-@_-"/>
  </numFmts>
  <fonts count="16">
    <font>
      <sz val="12"/>
      <name val="新細明體"/>
      <family val="1"/>
      <charset val="136"/>
    </font>
    <font>
      <sz val="9"/>
      <name val="細明體"/>
      <family val="3"/>
      <charset val="136"/>
    </font>
    <font>
      <b/>
      <sz val="24"/>
      <name val="華康細圓體(P)"/>
      <family val="1"/>
      <charset val="136"/>
    </font>
    <font>
      <b/>
      <u/>
      <sz val="24"/>
      <name val="華康細圓體(P)"/>
      <family val="1"/>
      <charset val="136"/>
    </font>
    <font>
      <sz val="20"/>
      <name val="華康細圓體(P)"/>
      <family val="1"/>
      <charset val="136"/>
    </font>
    <font>
      <b/>
      <sz val="12"/>
      <name val="華康細圓體(P)"/>
      <family val="1"/>
      <charset val="136"/>
    </font>
    <font>
      <sz val="12"/>
      <name val="華康細圓體(P)"/>
      <family val="1"/>
      <charset val="136"/>
    </font>
    <font>
      <b/>
      <sz val="20"/>
      <name val="華康細圓體(P)"/>
      <family val="1"/>
      <charset val="136"/>
    </font>
    <font>
      <b/>
      <sz val="14"/>
      <name val="華康細圓體(P)"/>
      <family val="1"/>
      <charset val="136"/>
    </font>
    <font>
      <b/>
      <sz val="11"/>
      <name val="華康細圓體(P)"/>
      <family val="1"/>
      <charset val="136"/>
    </font>
    <font>
      <sz val="16"/>
      <name val="華康細圓體(P)"/>
      <family val="1"/>
      <charset val="136"/>
    </font>
    <font>
      <sz val="14"/>
      <name val="華康細圓體(P)"/>
      <family val="1"/>
      <charset val="136"/>
    </font>
    <font>
      <sz val="11"/>
      <name val="華康細圓體(P)"/>
      <family val="1"/>
      <charset val="136"/>
    </font>
    <font>
      <sz val="10"/>
      <name val="華康細圓體(P)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38" fontId="5" fillId="0" borderId="0" xfId="0" applyNumberFormat="1" applyFont="1" applyBorder="1"/>
    <xf numFmtId="181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38" fontId="6" fillId="0" borderId="0" xfId="0" applyNumberFormat="1" applyFont="1"/>
    <xf numFmtId="0" fontId="6" fillId="0" borderId="0" xfId="0" applyFont="1" applyBorder="1" applyAlignment="1">
      <alignment vertical="center" wrapText="1"/>
    </xf>
    <xf numFmtId="0" fontId="11" fillId="0" borderId="2" xfId="0" applyFont="1" applyBorder="1" applyAlignment="1"/>
    <xf numFmtId="0" fontId="11" fillId="0" borderId="1" xfId="0" applyFont="1" applyBorder="1" applyAlignment="1">
      <alignment horizontal="center"/>
    </xf>
    <xf numFmtId="38" fontId="11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179" fontId="6" fillId="0" borderId="3" xfId="0" applyNumberFormat="1" applyFont="1" applyFill="1" applyBorder="1" applyAlignment="1">
      <alignment horizontal="right" vertical="center" wrapText="1"/>
    </xf>
    <xf numFmtId="0" fontId="6" fillId="0" borderId="0" xfId="0" applyFont="1" applyBorder="1"/>
    <xf numFmtId="38" fontId="6" fillId="0" borderId="4" xfId="0" applyNumberFormat="1" applyFont="1" applyBorder="1"/>
    <xf numFmtId="0" fontId="6" fillId="0" borderId="4" xfId="0" applyFont="1" applyBorder="1"/>
    <xf numFmtId="178" fontId="5" fillId="0" borderId="0" xfId="0" applyNumberFormat="1" applyFont="1" applyBorder="1" applyAlignment="1">
      <alignment horizontal="left"/>
    </xf>
    <xf numFmtId="38" fontId="6" fillId="0" borderId="0" xfId="0" applyNumberFormat="1" applyFont="1" applyBorder="1"/>
    <xf numFmtId="0" fontId="13" fillId="0" borderId="3" xfId="0" applyFont="1" applyBorder="1" applyAlignment="1">
      <alignment vertical="center" wrapText="1"/>
    </xf>
    <xf numFmtId="176" fontId="13" fillId="0" borderId="7" xfId="0" applyNumberFormat="1" applyFont="1" applyBorder="1" applyAlignment="1">
      <alignment horizontal="center" vertical="center"/>
    </xf>
    <xf numFmtId="179" fontId="13" fillId="0" borderId="7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79" fontId="13" fillId="0" borderId="3" xfId="0" applyNumberFormat="1" applyFont="1" applyFill="1" applyBorder="1" applyAlignment="1">
      <alignment horizontal="right" vertical="center" wrapText="1"/>
    </xf>
    <xf numFmtId="38" fontId="6" fillId="0" borderId="0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176" fontId="13" fillId="0" borderId="8" xfId="0" applyNumberFormat="1" applyFont="1" applyBorder="1" applyAlignment="1">
      <alignment horizontal="center" vertical="center"/>
    </xf>
    <xf numFmtId="179" fontId="13" fillId="0" borderId="8" xfId="0" applyNumberFormat="1" applyFont="1" applyBorder="1" applyAlignment="1">
      <alignment vertical="center"/>
    </xf>
    <xf numFmtId="179" fontId="13" fillId="0" borderId="9" xfId="0" applyNumberFormat="1" applyFont="1" applyFill="1" applyBorder="1" applyAlignment="1">
      <alignment horizontal="right" vertical="center" wrapText="1"/>
    </xf>
    <xf numFmtId="14" fontId="6" fillId="0" borderId="0" xfId="0" applyNumberFormat="1" applyFont="1" applyBorder="1" applyAlignment="1">
      <alignment horizontal="left"/>
    </xf>
    <xf numFmtId="177" fontId="6" fillId="0" borderId="0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179" fontId="6" fillId="0" borderId="7" xfId="0" applyNumberFormat="1" applyFont="1" applyBorder="1" applyAlignment="1">
      <alignment horizontal="center" vertical="center"/>
    </xf>
    <xf numFmtId="179" fontId="6" fillId="0" borderId="8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179" fontId="6" fillId="0" borderId="7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 applyBorder="1" applyAlignment="1"/>
    <xf numFmtId="182" fontId="10" fillId="0" borderId="0" xfId="0" applyNumberFormat="1" applyFont="1" applyAlignment="1">
      <alignment vertical="center"/>
    </xf>
    <xf numFmtId="183" fontId="0" fillId="0" borderId="0" xfId="1" applyNumberFormat="1" applyFont="1" applyAlignment="1"/>
    <xf numFmtId="0" fontId="15" fillId="0" borderId="0" xfId="0" applyFont="1"/>
    <xf numFmtId="0" fontId="6" fillId="0" borderId="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80" fontId="5" fillId="0" borderId="0" xfId="0" applyNumberFormat="1" applyFont="1" applyBorder="1" applyAlignment="1">
      <alignment horizontal="left"/>
    </xf>
    <xf numFmtId="180" fontId="6" fillId="0" borderId="0" xfId="0" applyNumberFormat="1" applyFont="1" applyBorder="1" applyAlignment="1"/>
    <xf numFmtId="0" fontId="13" fillId="0" borderId="1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180" fontId="5" fillId="0" borderId="10" xfId="0" applyNumberFormat="1" applyFont="1" applyBorder="1" applyAlignment="1">
      <alignment horizontal="left"/>
    </xf>
    <xf numFmtId="180" fontId="6" fillId="0" borderId="10" xfId="0" applyNumberFormat="1" applyFont="1" applyBorder="1" applyAlignment="1"/>
    <xf numFmtId="180" fontId="12" fillId="0" borderId="10" xfId="0" applyNumberFormat="1" applyFont="1" applyBorder="1" applyAlignment="1">
      <alignment horizontal="center" vertical="center" wrapText="1"/>
    </xf>
    <xf numFmtId="180" fontId="12" fillId="0" borderId="9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6" fillId="0" borderId="1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Alignment="1">
      <alignment horizontal="center" vertical="center"/>
    </xf>
  </cellXfs>
  <cellStyles count="2">
    <cellStyle name="一般" xfId="0" builtinId="0"/>
    <cellStyle name="貨幣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8</xdr:col>
      <xdr:colOff>9525</xdr:colOff>
      <xdr:row>10</xdr:row>
      <xdr:rowOff>9525</xdr:rowOff>
    </xdr:to>
    <xdr:pic>
      <xdr:nvPicPr>
        <xdr:cNvPr id="2" name="Picture 1" descr="b?P=7ePl4MtUynLuuT9ZS_H7TxkOy8yCyEvyBaYACygz&amp;T=142jqchbk%2fX%3d1274152360%2fE%3d152962309%2fR%3dtw_kblog%2fK%3d5%2fV%3d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19900" y="23812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460375</xdr:colOff>
      <xdr:row>20</xdr:row>
      <xdr:rowOff>9525</xdr:rowOff>
    </xdr:from>
    <xdr:to>
      <xdr:col>3</xdr:col>
      <xdr:colOff>191632</xdr:colOff>
      <xdr:row>24</xdr:row>
      <xdr:rowOff>149189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3775" y="5254625"/>
          <a:ext cx="2233157" cy="125726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view="pageLayout" topLeftCell="A18" zoomScaleNormal="100" workbookViewId="0">
      <selection activeCell="F31" sqref="F31"/>
    </sheetView>
  </sheetViews>
  <sheetFormatPr baseColWidth="10" defaultColWidth="9" defaultRowHeight="16"/>
  <cols>
    <col min="1" max="1" width="0.33203125" style="4" customWidth="1"/>
    <col min="2" max="2" width="6.6640625" style="12" customWidth="1"/>
    <col min="3" max="3" width="32.83203125" style="4" customWidth="1"/>
    <col min="4" max="4" width="11.1640625" style="4" customWidth="1"/>
    <col min="5" max="5" width="7.83203125" style="4" customWidth="1"/>
    <col min="6" max="6" width="7.6640625" style="12" customWidth="1"/>
    <col min="7" max="7" width="11" style="13" customWidth="1"/>
    <col min="8" max="8" width="12.5" style="4" customWidth="1"/>
    <col min="9" max="9" width="9" style="4"/>
    <col min="10" max="10" width="10.6640625" style="4" bestFit="1" customWidth="1"/>
    <col min="11" max="16384" width="9" style="4"/>
  </cols>
  <sheetData>
    <row r="1" spans="1:10" s="3" customFormat="1" ht="27.75" customHeight="1">
      <c r="A1" s="72" t="s">
        <v>2</v>
      </c>
      <c r="B1" s="72"/>
      <c r="C1" s="72"/>
      <c r="D1" s="72"/>
      <c r="E1" s="72"/>
      <c r="F1" s="72"/>
      <c r="G1" s="72"/>
      <c r="H1" s="2"/>
    </row>
    <row r="2" spans="1:10" ht="20" customHeight="1">
      <c r="A2" s="73" t="s">
        <v>14</v>
      </c>
      <c r="B2" s="73"/>
      <c r="C2" s="73"/>
      <c r="D2" s="73"/>
      <c r="E2" s="73"/>
      <c r="F2" s="73"/>
      <c r="G2" s="73"/>
      <c r="H2" s="2"/>
    </row>
    <row r="3" spans="1:10" ht="20" customHeight="1">
      <c r="A3" s="73" t="s">
        <v>15</v>
      </c>
      <c r="B3" s="73"/>
      <c r="C3" s="73"/>
      <c r="D3" s="73"/>
      <c r="E3" s="73"/>
      <c r="F3" s="73"/>
      <c r="G3" s="73"/>
      <c r="H3" s="2"/>
    </row>
    <row r="4" spans="1:10" ht="20" customHeight="1">
      <c r="A4" s="73" t="s">
        <v>13</v>
      </c>
      <c r="B4" s="73"/>
      <c r="C4" s="73"/>
      <c r="D4" s="73"/>
      <c r="E4" s="73"/>
      <c r="F4" s="73"/>
      <c r="G4" s="73"/>
      <c r="H4" s="2"/>
    </row>
    <row r="5" spans="1:10">
      <c r="B5" s="74"/>
      <c r="C5" s="74"/>
      <c r="D5" s="74"/>
      <c r="E5" s="74"/>
      <c r="F5" s="74"/>
      <c r="G5" s="74"/>
      <c r="H5" s="74"/>
    </row>
    <row r="6" spans="1:10" s="5" customFormat="1">
      <c r="B6" s="49"/>
      <c r="C6" s="49"/>
      <c r="D6" s="49"/>
      <c r="E6" s="49"/>
      <c r="F6" s="49"/>
      <c r="G6" s="49"/>
      <c r="H6" s="49"/>
    </row>
    <row r="7" spans="1:10" s="5" customFormat="1" ht="25">
      <c r="B7" s="71" t="s">
        <v>12</v>
      </c>
      <c r="C7" s="71"/>
      <c r="D7" s="71"/>
      <c r="E7" s="71"/>
      <c r="F7" s="71"/>
      <c r="G7" s="71"/>
      <c r="H7" s="71"/>
    </row>
    <row r="8" spans="1:10" s="5" customFormat="1" ht="18">
      <c r="B8" s="12" t="s">
        <v>10</v>
      </c>
      <c r="C8" t="s">
        <v>22</v>
      </c>
      <c r="D8" s="6"/>
      <c r="E8" s="6"/>
      <c r="F8" s="7"/>
      <c r="G8" s="8"/>
      <c r="H8" s="9"/>
    </row>
    <row r="9" spans="1:10">
      <c r="B9" s="37" t="s">
        <v>11</v>
      </c>
      <c r="C9" s="36">
        <f ca="1">TODAY()</f>
        <v>46106</v>
      </c>
      <c r="D9" s="5"/>
      <c r="E9" s="5"/>
      <c r="F9" s="7"/>
      <c r="G9" s="8"/>
      <c r="H9" s="10"/>
    </row>
    <row r="10" spans="1:10" s="11" customFormat="1" ht="14.25" customHeight="1">
      <c r="B10" s="12"/>
      <c r="C10" s="4"/>
      <c r="D10" s="4"/>
      <c r="E10" s="4"/>
      <c r="F10" s="12"/>
      <c r="G10" s="13"/>
      <c r="H10" s="4"/>
      <c r="J10" s="51"/>
    </row>
    <row r="11" spans="1:10" s="14" customFormat="1" ht="22.5" customHeight="1">
      <c r="B11" s="16" t="s">
        <v>3</v>
      </c>
      <c r="C11" s="67" t="s">
        <v>4</v>
      </c>
      <c r="D11" s="68"/>
      <c r="E11" s="15" t="s">
        <v>9</v>
      </c>
      <c r="F11" s="16" t="s">
        <v>0</v>
      </c>
      <c r="G11" s="17" t="s">
        <v>1</v>
      </c>
      <c r="H11" s="17" t="s">
        <v>5</v>
      </c>
    </row>
    <row r="12" spans="1:10" s="14" customFormat="1" ht="22.5" customHeight="1">
      <c r="B12" s="42">
        <v>1</v>
      </c>
      <c r="C12" s="14" t="s">
        <v>19</v>
      </c>
      <c r="D12" s="43"/>
      <c r="E12" s="44" t="s">
        <v>18</v>
      </c>
      <c r="F12" s="45">
        <v>2</v>
      </c>
      <c r="G12" s="48">
        <v>12250</v>
      </c>
      <c r="H12" s="48">
        <f>F12*G12</f>
        <v>24500</v>
      </c>
    </row>
    <row r="13" spans="1:10" s="14" customFormat="1" ht="22.5" customHeight="1">
      <c r="B13" s="46"/>
      <c r="C13" s="14" t="s">
        <v>20</v>
      </c>
      <c r="D13" s="47"/>
      <c r="E13" s="47"/>
      <c r="F13" s="45"/>
      <c r="G13" s="48"/>
      <c r="H13" s="48"/>
    </row>
    <row r="14" spans="1:10" s="14" customFormat="1" ht="22.5" customHeight="1">
      <c r="B14" s="46"/>
      <c r="C14" s="14" t="s">
        <v>21</v>
      </c>
      <c r="D14" s="47"/>
      <c r="E14" s="44"/>
      <c r="F14" s="45"/>
      <c r="G14" s="48"/>
      <c r="H14" s="48"/>
    </row>
    <row r="15" spans="1:10" s="14" customFormat="1" ht="22.5" customHeight="1">
      <c r="B15" s="46"/>
      <c r="C15" s="69"/>
      <c r="D15" s="70"/>
      <c r="E15" s="47"/>
      <c r="F15" s="45"/>
      <c r="G15" s="48"/>
      <c r="H15" s="48"/>
    </row>
    <row r="16" spans="1:10" s="14" customFormat="1" ht="22.5" customHeight="1">
      <c r="B16" s="46"/>
      <c r="C16" s="1"/>
      <c r="D16" s="47"/>
      <c r="E16" s="44"/>
      <c r="F16" s="45"/>
      <c r="G16" s="48"/>
      <c r="H16" s="48"/>
    </row>
    <row r="17" spans="2:8" s="14" customFormat="1" ht="22.5" customHeight="1">
      <c r="B17" s="46"/>
      <c r="C17" s="18"/>
      <c r="D17" s="47"/>
      <c r="E17" s="47"/>
      <c r="F17" s="45"/>
      <c r="G17" s="48"/>
      <c r="H17" s="48"/>
    </row>
    <row r="18" spans="2:8" s="14" customFormat="1" ht="22.5" customHeight="1">
      <c r="B18" s="46"/>
      <c r="C18" s="55"/>
      <c r="D18" s="54"/>
      <c r="E18" s="47"/>
      <c r="F18" s="45"/>
      <c r="G18" s="48"/>
      <c r="H18" s="48"/>
    </row>
    <row r="19" spans="2:8" s="14" customFormat="1" ht="22.5" customHeight="1">
      <c r="B19" s="38"/>
      <c r="C19" s="55"/>
      <c r="D19" s="56"/>
      <c r="E19" s="25"/>
      <c r="F19" s="26"/>
      <c r="G19" s="48"/>
      <c r="H19" s="48"/>
    </row>
    <row r="20" spans="2:8" s="14" customFormat="1" ht="22.5" customHeight="1">
      <c r="B20" s="38"/>
      <c r="C20" s="55"/>
      <c r="D20" s="56"/>
      <c r="E20" s="25"/>
      <c r="F20" s="26"/>
      <c r="G20" s="48"/>
      <c r="H20" s="27"/>
    </row>
    <row r="21" spans="2:8" s="14" customFormat="1" ht="22.5" customHeight="1">
      <c r="B21" s="38"/>
      <c r="C21" s="59"/>
      <c r="D21" s="60"/>
      <c r="E21" s="28"/>
      <c r="F21" s="26"/>
      <c r="G21" s="48"/>
      <c r="H21" s="29"/>
    </row>
    <row r="22" spans="2:8" s="14" customFormat="1" ht="22.5" customHeight="1">
      <c r="B22" s="38"/>
      <c r="C22" s="59"/>
      <c r="D22" s="60"/>
      <c r="E22" s="28"/>
      <c r="F22" s="26"/>
      <c r="G22" s="27"/>
      <c r="H22" s="29"/>
    </row>
    <row r="23" spans="2:8" s="14" customFormat="1" ht="22.5" customHeight="1">
      <c r="B23" s="38"/>
      <c r="C23" s="59"/>
      <c r="D23" s="60"/>
      <c r="E23" s="28"/>
      <c r="F23" s="26"/>
      <c r="G23" s="27"/>
      <c r="H23" s="29"/>
    </row>
    <row r="24" spans="2:8" s="14" customFormat="1" ht="22.5" customHeight="1">
      <c r="B24" s="38"/>
      <c r="C24" s="59"/>
      <c r="D24" s="60"/>
      <c r="E24" s="28"/>
      <c r="F24" s="26"/>
      <c r="G24" s="27"/>
      <c r="H24" s="29"/>
    </row>
    <row r="25" spans="2:8" s="14" customFormat="1" ht="22.5" customHeight="1">
      <c r="B25" s="38"/>
      <c r="C25" s="59"/>
      <c r="D25" s="60"/>
      <c r="E25" s="28"/>
      <c r="F25" s="26"/>
      <c r="G25" s="27"/>
      <c r="H25" s="29"/>
    </row>
    <row r="26" spans="2:8" s="14" customFormat="1" ht="22.5" customHeight="1">
      <c r="B26" s="31"/>
      <c r="C26" s="61"/>
      <c r="D26" s="62"/>
      <c r="E26" s="32"/>
      <c r="F26" s="33"/>
      <c r="G26" s="34"/>
      <c r="H26" s="35"/>
    </row>
    <row r="27" spans="2:8" s="14" customFormat="1" ht="22.5" customHeight="1">
      <c r="B27" s="39" t="s">
        <v>6</v>
      </c>
      <c r="C27" s="30">
        <f>SUM(H12:H26)</f>
        <v>24500</v>
      </c>
      <c r="D27" s="18"/>
      <c r="E27" s="18"/>
      <c r="H27" s="19"/>
    </row>
    <row r="28" spans="2:8" s="14" customFormat="1" ht="22.5" customHeight="1">
      <c r="B28" s="39" t="s">
        <v>7</v>
      </c>
      <c r="C28" s="1" t="s">
        <v>17</v>
      </c>
      <c r="D28" s="18"/>
      <c r="E28" s="18"/>
      <c r="H28" s="19"/>
    </row>
    <row r="29" spans="2:8" s="14" customFormat="1" ht="22.5" customHeight="1">
      <c r="B29" s="40" t="s">
        <v>8</v>
      </c>
      <c r="C29" s="63">
        <f>C27</f>
        <v>24500</v>
      </c>
      <c r="D29" s="63"/>
      <c r="E29" s="63"/>
      <c r="F29" s="64"/>
      <c r="G29" s="65" t="s">
        <v>16</v>
      </c>
      <c r="H29" s="66"/>
    </row>
    <row r="30" spans="2:8" s="20" customFormat="1">
      <c r="B30" s="57"/>
      <c r="C30" s="57"/>
      <c r="D30" s="58"/>
      <c r="E30" s="50"/>
      <c r="F30" s="7" t="s">
        <v>23</v>
      </c>
      <c r="G30" s="21"/>
      <c r="H30" s="22"/>
    </row>
    <row r="31" spans="2:8" s="20" customFormat="1">
      <c r="B31" s="41"/>
      <c r="C31" s="23"/>
      <c r="D31" s="5"/>
      <c r="E31" s="5"/>
      <c r="F31" s="7"/>
      <c r="G31" s="24"/>
    </row>
    <row r="34" spans="2:7">
      <c r="B34"/>
      <c r="C34"/>
      <c r="D34"/>
      <c r="E34"/>
      <c r="F34"/>
      <c r="G34"/>
    </row>
    <row r="35" spans="2:7">
      <c r="B35"/>
      <c r="C35"/>
      <c r="D35"/>
      <c r="E35"/>
      <c r="F35"/>
      <c r="G35"/>
    </row>
    <row r="36" spans="2:7">
      <c r="B36"/>
      <c r="C36"/>
      <c r="D36"/>
      <c r="E36"/>
      <c r="F36" s="52"/>
      <c r="G36" s="52"/>
    </row>
    <row r="37" spans="2:7">
      <c r="B37" s="53"/>
      <c r="C37"/>
      <c r="D37"/>
      <c r="E37"/>
      <c r="F37" s="52"/>
      <c r="G37" s="52"/>
    </row>
  </sheetData>
  <mergeCells count="17">
    <mergeCell ref="B7:H7"/>
    <mergeCell ref="A1:G1"/>
    <mergeCell ref="A2:G2"/>
    <mergeCell ref="A3:G3"/>
    <mergeCell ref="A4:G4"/>
    <mergeCell ref="B5:H5"/>
    <mergeCell ref="G29:H29"/>
    <mergeCell ref="C11:D11"/>
    <mergeCell ref="C15:D15"/>
    <mergeCell ref="C21:D21"/>
    <mergeCell ref="C22:D22"/>
    <mergeCell ref="B30:D30"/>
    <mergeCell ref="C23:D23"/>
    <mergeCell ref="C24:D24"/>
    <mergeCell ref="C25:D25"/>
    <mergeCell ref="C26:D26"/>
    <mergeCell ref="C29:F29"/>
  </mergeCells>
  <phoneticPr fontId="14" type="noConversion"/>
  <pageMargins left="0.45" right="0.1388888888888889" top="0.3888888888888889" bottom="1" header="0.5" footer="0.5"/>
  <pageSetup paperSize="9" orientation="portrait" horizont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估價單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Microsoft Office User</cp:lastModifiedBy>
  <cp:lastPrinted>2018-09-28T03:59:38Z</cp:lastPrinted>
  <dcterms:created xsi:type="dcterms:W3CDTF">2002-06-20T03:32:17Z</dcterms:created>
  <dcterms:modified xsi:type="dcterms:W3CDTF">2026-03-25T08:59:51Z</dcterms:modified>
</cp:coreProperties>
</file>